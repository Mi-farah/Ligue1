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fticonsultingfra-my.sharepoint.com/personal/michel_farah_fticonsulting_com/Documents/Desktop/Personeel/michlougo/Ligue1/backend/data/Historic_travels/"/>
    </mc:Choice>
  </mc:AlternateContent>
  <xr:revisionPtr revIDLastSave="31" documentId="11_8D0E22FD9D9A556C940358AD2E7FB8A672EB1601" xr6:coauthVersionLast="47" xr6:coauthVersionMax="47" xr10:uidLastSave="{A811AB3D-C9ED-4DA6-9C21-040C2453821A}"/>
  <bookViews>
    <workbookView xWindow="-28950" yWindow="-120" windowWidth="29040" windowHeight="15720" xr2:uid="{00000000-000D-0000-FFFF-FFFF00000000}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HGyhRn9wDtTAk7qo1Js9eU38ZBWY9OzDQ2ojaYMNChQ="/>
    </ext>
  </extLst>
</workbook>
</file>

<file path=xl/calcChain.xml><?xml version="1.0" encoding="utf-8"?>
<calcChain xmlns="http://schemas.openxmlformats.org/spreadsheetml/2006/main">
  <c r="E50" i="1" l="1"/>
  <c r="D50" i="1"/>
  <c r="F49" i="1"/>
  <c r="H48" i="1"/>
  <c r="G48" i="1"/>
  <c r="G47" i="1"/>
  <c r="G46" i="1"/>
  <c r="G45" i="1"/>
  <c r="G44" i="1"/>
  <c r="G43" i="1"/>
  <c r="G42" i="1"/>
  <c r="G41" i="1"/>
  <c r="G40" i="1"/>
  <c r="G49" i="1" s="1"/>
  <c r="G39" i="1"/>
  <c r="G38" i="1"/>
  <c r="G37" i="1"/>
  <c r="G36" i="1"/>
  <c r="G35" i="1"/>
  <c r="G34" i="1"/>
  <c r="G33" i="1"/>
  <c r="G32" i="1"/>
  <c r="G3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S5" authorId="0" shapeId="0" xr:uid="{00000000-0006-0000-0000-000002000000}">
      <text>
        <r>
          <rPr>
            <sz val="12"/>
            <color theme="1"/>
            <rFont val="Aptos Narrow"/>
            <scheme val="minor"/>
          </rPr>
          <t>======
ID#AAABr6VkTWY
Lou Stührenberg    (2025-10-05 09:16:57)
3 avions
------
ID#AAABr6VkTWc
Lou Stührenberg    (2025-10-05 09:17:04)
au retour</t>
        </r>
      </text>
    </comment>
    <comment ref="S10" authorId="0" shapeId="0" xr:uid="{00000000-0006-0000-0000-000001000000}">
      <text>
        <r>
          <rPr>
            <sz val="12"/>
            <color theme="1"/>
            <rFont val="Aptos Narrow"/>
            <scheme val="minor"/>
          </rPr>
          <t>======
ID#AAABr6VkTWg
Lou Stührenberg    (2025-10-05 10:31:08)
250km, plus court en avion depuis début de saison (info de février)</t>
        </r>
      </text>
    </comment>
    <comment ref="R14" authorId="0" shapeId="0" xr:uid="{00000000-0006-0000-0000-000003000000}">
      <text>
        <r>
          <rPr>
            <sz val="12"/>
            <color theme="1"/>
            <rFont val="Aptos Narrow"/>
            <scheme val="minor"/>
          </rPr>
          <t>======
ID#AAABr6VkTWU
Lou Stührenberg    (2025-10-05 09:16:39)
2 avions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CZcIh4uZ9mcpocWw5Fz136evF2A=="/>
    </ext>
  </extLst>
</comments>
</file>

<file path=xl/sharedStrings.xml><?xml version="1.0" encoding="utf-8"?>
<sst xmlns="http://schemas.openxmlformats.org/spreadsheetml/2006/main" count="400" uniqueCount="50">
  <si>
    <t>ligne : club qui fait le déplacement</t>
  </si>
  <si>
    <t>v</t>
  </si>
  <si>
    <t>Paris Saint-Germain</t>
  </si>
  <si>
    <t>/</t>
  </si>
  <si>
    <t>avion</t>
  </si>
  <si>
    <t>bus</t>
  </si>
  <si>
    <t>Aller en bus
Retour en avion</t>
  </si>
  <si>
    <t>train</t>
  </si>
  <si>
    <t xml:space="preserve">Hypothèses </t>
  </si>
  <si>
    <t>code couleur</t>
  </si>
  <si>
    <t>info direct du compte L1 on air</t>
  </si>
  <si>
    <t>info déduite du nombre de trajets en noir + du nombre total (aussi info L1 on air)</t>
  </si>
  <si>
    <t>hypothèse basée sur distance</t>
  </si>
  <si>
    <t>hypothèse faite à partir de saison 2025/2026</t>
  </si>
  <si>
    <t>hypothèse basée sur la sécurité</t>
  </si>
  <si>
    <t>Toutes les données récupérées sur Ligue 1 on air</t>
  </si>
  <si>
    <t>Saison 2024/2025 (sauf si précisé)</t>
  </si>
  <si>
    <t xml:space="preserve">Données générales pour vérification </t>
  </si>
  <si>
    <t>Répartitions totales</t>
  </si>
  <si>
    <t>Avion</t>
  </si>
  <si>
    <t>total</t>
  </si>
  <si>
    <t>235 avion</t>
  </si>
  <si>
    <t>Toulouse</t>
  </si>
  <si>
    <t>(Montpellier pour trajet bus ?)</t>
  </si>
  <si>
    <t>67 bus</t>
  </si>
  <si>
    <t>Monaco</t>
  </si>
  <si>
    <t>4 trains</t>
  </si>
  <si>
    <t>Strasbourg</t>
  </si>
  <si>
    <t>Lyon</t>
  </si>
  <si>
    <t>Nice</t>
  </si>
  <si>
    <t>Marseille</t>
  </si>
  <si>
    <t>Brest</t>
  </si>
  <si>
    <t xml:space="preserve">Reims </t>
  </si>
  <si>
    <t>Havre</t>
  </si>
  <si>
    <t xml:space="preserve">Angers </t>
  </si>
  <si>
    <t>Paris</t>
  </si>
  <si>
    <t>Rennes</t>
  </si>
  <si>
    <t>Auxerres</t>
  </si>
  <si>
    <t>Montpellier</t>
  </si>
  <si>
    <t>Lille</t>
  </si>
  <si>
    <t>Lens</t>
  </si>
  <si>
    <t>Nantes</t>
  </si>
  <si>
    <t>Snt Etienne</t>
  </si>
  <si>
    <t>Source de JetsLigue1 : "beaucoup de FlightRadar" + quelques contacts</t>
  </si>
  <si>
    <t>Reims</t>
  </si>
  <si>
    <t>Le Havre</t>
  </si>
  <si>
    <t>Auxerre</t>
  </si>
  <si>
    <t>Angers</t>
  </si>
  <si>
    <t>Saint-Étienne</t>
  </si>
  <si>
    <t>Aller en train
Retour en 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</si>
</sst>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m"/>
  </numFmts>
  <fonts count="8" x14ac:knownFonts="1">
    <font>
      <sz val="12"/>
      <color theme="1"/>
      <name val="Aptos Narrow"/>
      <scheme val="minor"/>
    </font>
    <font>
      <sz val="12"/>
      <color theme="1"/>
      <name val="Arial"/>
    </font>
    <font>
      <sz val="12"/>
      <color theme="1"/>
      <name val="Aptos Narrow"/>
      <scheme val="minor"/>
    </font>
    <font>
      <b/>
      <sz val="12"/>
      <color theme="1"/>
      <name val="Arial"/>
    </font>
    <font>
      <sz val="12"/>
      <color rgb="FFFF00FF"/>
      <name val="Arial"/>
    </font>
    <font>
      <sz val="12"/>
      <color rgb="FF38761D"/>
      <name val="Arial"/>
    </font>
    <font>
      <sz val="12"/>
      <color rgb="FF0000FF"/>
      <name val="Arial"/>
    </font>
    <font>
      <sz val="12"/>
      <color rgb="FFBF9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164" fontId="3" fillId="0" borderId="0" xfId="0" applyNumberFormat="1" applyFont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F89A48D-C22D-4622-9397-9812744AD308}">
  <we:reference id="81ae7f57-2760-4043-a9cb-e0d36209e808" version="1.3.0.0" store="EXCatalog" storeType="EXCatalog"/>
  <we:alternateReferences>
    <we:reference id="WA200003696" version="1.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pane ySplit="2" topLeftCell="A3" activePane="bottomLeft" state="frozen"/>
      <selection pane="bottomLeft" activeCell="B20" sqref="B20"/>
    </sheetView>
  </sheetViews>
  <sheetFormatPr defaultColWidth="11.19921875" defaultRowHeight="15" customHeight="1" x14ac:dyDescent="0.3"/>
  <cols>
    <col min="1" max="1" width="31.3984375" customWidth="1"/>
    <col min="2" max="6" width="10.5" customWidth="1"/>
    <col min="7" max="7" width="19" customWidth="1"/>
    <col min="8" max="8" width="15.69921875" customWidth="1"/>
    <col min="9" max="9" width="18.3984375" customWidth="1"/>
    <col min="10" max="10" width="14.59765625" customWidth="1"/>
    <col min="11" max="14" width="10.5" customWidth="1"/>
    <col min="15" max="15" width="15.59765625" customWidth="1"/>
    <col min="16" max="26" width="10.5" customWidth="1"/>
  </cols>
  <sheetData>
    <row r="1" spans="1:26" ht="15.75" customHeight="1" x14ac:dyDescent="0.3">
      <c r="A1" s="1" t="s">
        <v>0</v>
      </c>
      <c r="B1" s="2"/>
      <c r="C1" s="3">
        <v>45762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3">
      <c r="A2" s="1" t="s">
        <v>1</v>
      </c>
      <c r="B2" s="1" t="s">
        <v>2</v>
      </c>
      <c r="C2" s="2" t="s">
        <v>25</v>
      </c>
      <c r="D2" s="2" t="s">
        <v>31</v>
      </c>
      <c r="E2" s="2" t="s">
        <v>39</v>
      </c>
      <c r="F2" s="2" t="s">
        <v>29</v>
      </c>
      <c r="G2" s="2" t="s">
        <v>28</v>
      </c>
      <c r="H2" s="2" t="s">
        <v>40</v>
      </c>
      <c r="I2" s="2" t="s">
        <v>30</v>
      </c>
      <c r="J2" s="2" t="s">
        <v>44</v>
      </c>
      <c r="K2" s="2" t="s">
        <v>36</v>
      </c>
      <c r="L2" s="2" t="s">
        <v>22</v>
      </c>
      <c r="M2" s="2" t="s">
        <v>38</v>
      </c>
      <c r="N2" s="2" t="s">
        <v>27</v>
      </c>
      <c r="O2" s="2" t="s">
        <v>41</v>
      </c>
      <c r="P2" s="2" t="s">
        <v>45</v>
      </c>
      <c r="Q2" s="2" t="s">
        <v>46</v>
      </c>
      <c r="R2" s="2" t="s">
        <v>47</v>
      </c>
      <c r="S2" s="2" t="s">
        <v>48</v>
      </c>
      <c r="T2" s="2"/>
      <c r="U2" s="2"/>
      <c r="V2" s="2"/>
      <c r="W2" s="2"/>
      <c r="X2" s="2"/>
      <c r="Y2" s="2"/>
      <c r="Z2" s="2"/>
    </row>
    <row r="3" spans="1:26" ht="15.75" customHeight="1" x14ac:dyDescent="0.3">
      <c r="A3" s="4" t="s">
        <v>2</v>
      </c>
      <c r="B3" s="1" t="s">
        <v>3</v>
      </c>
      <c r="C3" s="1" t="s">
        <v>4</v>
      </c>
      <c r="D3" s="1" t="s">
        <v>4</v>
      </c>
      <c r="E3" s="5" t="s">
        <v>5</v>
      </c>
      <c r="F3" s="1" t="s">
        <v>4</v>
      </c>
      <c r="G3" s="1" t="s">
        <v>4</v>
      </c>
      <c r="H3" s="1" t="s">
        <v>5</v>
      </c>
      <c r="I3" s="1" t="s">
        <v>4</v>
      </c>
      <c r="J3" s="6" t="s">
        <v>5</v>
      </c>
      <c r="K3" s="1" t="s">
        <v>4</v>
      </c>
      <c r="L3" s="1" t="s">
        <v>4</v>
      </c>
      <c r="M3" s="1" t="s">
        <v>4</v>
      </c>
      <c r="N3" s="1" t="s">
        <v>4</v>
      </c>
      <c r="O3" s="5" t="s">
        <v>4</v>
      </c>
      <c r="P3" s="6" t="s">
        <v>5</v>
      </c>
      <c r="Q3" s="1" t="s">
        <v>5</v>
      </c>
      <c r="R3" s="1" t="s">
        <v>6</v>
      </c>
      <c r="S3" s="7" t="s">
        <v>4</v>
      </c>
      <c r="T3" s="2"/>
      <c r="U3" s="2"/>
      <c r="V3" s="2"/>
      <c r="W3" s="2"/>
      <c r="X3" s="2"/>
      <c r="Y3" s="2"/>
      <c r="Z3" s="2"/>
    </row>
    <row r="4" spans="1:26" ht="15.75" customHeight="1" x14ac:dyDescent="0.3">
      <c r="A4" s="4" t="s">
        <v>25</v>
      </c>
      <c r="B4" s="1" t="s">
        <v>4</v>
      </c>
      <c r="C4" s="1" t="s">
        <v>3</v>
      </c>
      <c r="D4" s="1" t="s">
        <v>4</v>
      </c>
      <c r="E4" s="1" t="s">
        <v>4</v>
      </c>
      <c r="F4" s="1" t="s">
        <v>5</v>
      </c>
      <c r="G4" s="8" t="s">
        <v>4</v>
      </c>
      <c r="H4" s="1" t="s">
        <v>4</v>
      </c>
      <c r="I4" s="1" t="s">
        <v>5</v>
      </c>
      <c r="J4" s="1" t="s">
        <v>4</v>
      </c>
      <c r="K4" s="1" t="s">
        <v>4</v>
      </c>
      <c r="L4" s="1" t="s">
        <v>4</v>
      </c>
      <c r="M4" s="1" t="s">
        <v>4</v>
      </c>
      <c r="N4" s="1" t="s">
        <v>4</v>
      </c>
      <c r="O4" s="1" t="s">
        <v>4</v>
      </c>
      <c r="P4" s="1" t="s">
        <v>4</v>
      </c>
      <c r="Q4" s="1" t="s">
        <v>4</v>
      </c>
      <c r="R4" s="1" t="s">
        <v>4</v>
      </c>
      <c r="S4" s="7" t="s">
        <v>4</v>
      </c>
      <c r="T4" s="2"/>
      <c r="U4" s="2"/>
      <c r="V4" s="2"/>
      <c r="W4" s="2"/>
      <c r="X4" s="2"/>
      <c r="Y4" s="2"/>
      <c r="Z4" s="2"/>
    </row>
    <row r="5" spans="1:26" ht="15.75" customHeight="1" x14ac:dyDescent="0.3">
      <c r="A5" s="4" t="s">
        <v>31</v>
      </c>
      <c r="B5" s="1" t="s">
        <v>4</v>
      </c>
      <c r="C5" s="1" t="s">
        <v>4</v>
      </c>
      <c r="D5" s="1" t="s">
        <v>3</v>
      </c>
      <c r="E5" s="1" t="s">
        <v>4</v>
      </c>
      <c r="F5" s="1" t="s">
        <v>4</v>
      </c>
      <c r="G5" s="1" t="s">
        <v>4</v>
      </c>
      <c r="H5" s="5" t="s">
        <v>4</v>
      </c>
      <c r="I5" s="1" t="s">
        <v>4</v>
      </c>
      <c r="J5" s="1" t="s">
        <v>4</v>
      </c>
      <c r="K5" s="8" t="s">
        <v>5</v>
      </c>
      <c r="L5" s="1" t="s">
        <v>4</v>
      </c>
      <c r="M5" s="1" t="s">
        <v>4</v>
      </c>
      <c r="N5" s="1" t="s">
        <v>4</v>
      </c>
      <c r="O5" s="1" t="s">
        <v>5</v>
      </c>
      <c r="P5" s="1" t="s">
        <v>4</v>
      </c>
      <c r="Q5" s="6" t="s">
        <v>4</v>
      </c>
      <c r="R5" s="5" t="s">
        <v>5</v>
      </c>
      <c r="S5" s="7" t="s">
        <v>4</v>
      </c>
      <c r="T5" s="2"/>
      <c r="U5" s="2"/>
      <c r="V5" s="2"/>
      <c r="W5" s="2"/>
      <c r="X5" s="2"/>
      <c r="Y5" s="2"/>
      <c r="Z5" s="2"/>
    </row>
    <row r="6" spans="1:26" ht="45.75" customHeight="1" x14ac:dyDescent="0.3">
      <c r="A6" s="4" t="s">
        <v>39</v>
      </c>
      <c r="B6" s="8" t="s">
        <v>5</v>
      </c>
      <c r="C6" s="1" t="s">
        <v>4</v>
      </c>
      <c r="D6" s="1" t="s">
        <v>4</v>
      </c>
      <c r="E6" s="1" t="s">
        <v>3</v>
      </c>
      <c r="F6" s="1" t="s">
        <v>4</v>
      </c>
      <c r="G6" s="1" t="s">
        <v>4</v>
      </c>
      <c r="H6" s="1" t="s">
        <v>5</v>
      </c>
      <c r="I6" s="1" t="s">
        <v>4</v>
      </c>
      <c r="J6" s="8" t="s">
        <v>5</v>
      </c>
      <c r="K6" s="1" t="s">
        <v>4</v>
      </c>
      <c r="L6" s="1" t="s">
        <v>4</v>
      </c>
      <c r="M6" s="1" t="s">
        <v>4</v>
      </c>
      <c r="N6" s="1" t="s">
        <v>4</v>
      </c>
      <c r="O6" s="1" t="s">
        <v>4</v>
      </c>
      <c r="P6" s="8" t="s">
        <v>5</v>
      </c>
      <c r="Q6" s="1" t="s">
        <v>4</v>
      </c>
      <c r="R6" s="1" t="s">
        <v>4</v>
      </c>
      <c r="S6" s="1" t="s">
        <v>4</v>
      </c>
      <c r="T6" s="2"/>
      <c r="U6" s="2"/>
      <c r="V6" s="2"/>
      <c r="W6" s="2"/>
      <c r="X6" s="2"/>
      <c r="Y6" s="2"/>
      <c r="Z6" s="2"/>
    </row>
    <row r="7" spans="1:26" ht="15.75" customHeight="1" x14ac:dyDescent="0.3">
      <c r="A7" s="4" t="s">
        <v>29</v>
      </c>
      <c r="B7" s="1" t="s">
        <v>4</v>
      </c>
      <c r="C7" s="1" t="s">
        <v>5</v>
      </c>
      <c r="D7" s="1" t="s">
        <v>4</v>
      </c>
      <c r="E7" s="1" t="s">
        <v>4</v>
      </c>
      <c r="F7" s="1" t="s">
        <v>3</v>
      </c>
      <c r="G7" s="1" t="s">
        <v>4</v>
      </c>
      <c r="H7" s="8" t="s">
        <v>4</v>
      </c>
      <c r="I7" s="6" t="s">
        <v>5</v>
      </c>
      <c r="J7" s="1" t="s">
        <v>4</v>
      </c>
      <c r="K7" s="1" t="s">
        <v>4</v>
      </c>
      <c r="L7" s="1" t="s">
        <v>4</v>
      </c>
      <c r="M7" s="8" t="s">
        <v>4</v>
      </c>
      <c r="N7" s="1" t="s">
        <v>4</v>
      </c>
      <c r="O7" s="1" t="s">
        <v>4</v>
      </c>
      <c r="P7" s="1" t="s">
        <v>4</v>
      </c>
      <c r="Q7" s="8" t="s">
        <v>4</v>
      </c>
      <c r="R7" s="8" t="s">
        <v>4</v>
      </c>
      <c r="S7" s="7" t="s">
        <v>4</v>
      </c>
      <c r="T7" s="2"/>
      <c r="U7" s="2"/>
      <c r="V7" s="2"/>
      <c r="W7" s="2"/>
      <c r="X7" s="2"/>
      <c r="Y7" s="2"/>
      <c r="Z7" s="2"/>
    </row>
    <row r="8" spans="1:26" ht="15.75" customHeight="1" x14ac:dyDescent="0.3">
      <c r="A8" s="4" t="s">
        <v>28</v>
      </c>
      <c r="B8" s="8" t="s">
        <v>4</v>
      </c>
      <c r="C8" s="1" t="s">
        <v>4</v>
      </c>
      <c r="D8" s="1" t="s">
        <v>4</v>
      </c>
      <c r="E8" s="1" t="s">
        <v>4</v>
      </c>
      <c r="F8" s="1" t="s">
        <v>4</v>
      </c>
      <c r="G8" s="1" t="s">
        <v>3</v>
      </c>
      <c r="H8" s="1" t="s">
        <v>4</v>
      </c>
      <c r="I8" s="9" t="s">
        <v>4</v>
      </c>
      <c r="J8" s="1" t="s">
        <v>4</v>
      </c>
      <c r="K8" s="5" t="s">
        <v>4</v>
      </c>
      <c r="L8" s="8" t="s">
        <v>4</v>
      </c>
      <c r="M8" s="6" t="s">
        <v>5</v>
      </c>
      <c r="N8" s="1" t="s">
        <v>4</v>
      </c>
      <c r="O8" s="1" t="s">
        <v>4</v>
      </c>
      <c r="P8" s="1" t="s">
        <v>4</v>
      </c>
      <c r="Q8" s="1" t="s">
        <v>4</v>
      </c>
      <c r="R8" s="1" t="s">
        <v>4</v>
      </c>
      <c r="S8" s="6" t="s">
        <v>5</v>
      </c>
      <c r="T8" s="2"/>
      <c r="U8" s="2"/>
      <c r="V8" s="2"/>
      <c r="W8" s="2"/>
      <c r="X8" s="2"/>
      <c r="Y8" s="2"/>
      <c r="Z8" s="2"/>
    </row>
    <row r="9" spans="1:26" ht="15.75" customHeight="1" x14ac:dyDescent="0.3">
      <c r="A9" s="4" t="s">
        <v>40</v>
      </c>
      <c r="B9" s="5" t="s">
        <v>5</v>
      </c>
      <c r="C9" s="8" t="s">
        <v>4</v>
      </c>
      <c r="D9" s="1" t="s">
        <v>4</v>
      </c>
      <c r="E9" s="1" t="s">
        <v>5</v>
      </c>
      <c r="F9" s="1" t="s">
        <v>4</v>
      </c>
      <c r="G9" s="1" t="s">
        <v>4</v>
      </c>
      <c r="H9" s="1" t="s">
        <v>3</v>
      </c>
      <c r="I9" s="1" t="s">
        <v>4</v>
      </c>
      <c r="J9" s="1" t="s">
        <v>5</v>
      </c>
      <c r="K9" s="5" t="s">
        <v>4</v>
      </c>
      <c r="L9" s="1" t="s">
        <v>4</v>
      </c>
      <c r="M9" s="1" t="s">
        <v>4</v>
      </c>
      <c r="N9" s="8" t="s">
        <v>4</v>
      </c>
      <c r="O9" s="1" t="s">
        <v>4</v>
      </c>
      <c r="P9" s="1" t="s">
        <v>5</v>
      </c>
      <c r="Q9" s="1" t="s">
        <v>4</v>
      </c>
      <c r="R9" s="8" t="s">
        <v>4</v>
      </c>
      <c r="S9" s="1" t="s">
        <v>4</v>
      </c>
      <c r="T9" s="2"/>
      <c r="U9" s="2"/>
      <c r="V9" s="2"/>
      <c r="W9" s="2"/>
      <c r="X9" s="2"/>
      <c r="Y9" s="2"/>
      <c r="Z9" s="2"/>
    </row>
    <row r="10" spans="1:26" ht="15.75" customHeight="1" x14ac:dyDescent="0.3">
      <c r="A10" s="4" t="s">
        <v>30</v>
      </c>
      <c r="B10" s="1" t="s">
        <v>4</v>
      </c>
      <c r="C10" s="6" t="s">
        <v>5</v>
      </c>
      <c r="D10" s="6" t="s">
        <v>4</v>
      </c>
      <c r="E10" s="1" t="s">
        <v>4</v>
      </c>
      <c r="F10" s="1" t="s">
        <v>5</v>
      </c>
      <c r="G10" s="1" t="s">
        <v>4</v>
      </c>
      <c r="H10" s="1" t="s">
        <v>4</v>
      </c>
      <c r="I10" s="1" t="s">
        <v>3</v>
      </c>
      <c r="J10" s="1" t="s">
        <v>4</v>
      </c>
      <c r="K10" s="1" t="s">
        <v>4</v>
      </c>
      <c r="L10" s="8" t="s">
        <v>4</v>
      </c>
      <c r="M10" s="6" t="s">
        <v>5</v>
      </c>
      <c r="N10" s="5" t="s">
        <v>4</v>
      </c>
      <c r="O10" s="1" t="s">
        <v>4</v>
      </c>
      <c r="P10" s="1" t="s">
        <v>4</v>
      </c>
      <c r="Q10" s="1" t="s">
        <v>4</v>
      </c>
      <c r="R10" s="1" t="s">
        <v>4</v>
      </c>
      <c r="S10" s="7" t="s">
        <v>4</v>
      </c>
      <c r="T10" s="2"/>
      <c r="U10" s="2"/>
      <c r="V10" s="2"/>
      <c r="W10" s="2"/>
      <c r="X10" s="2"/>
      <c r="Y10" s="2"/>
      <c r="Z10" s="2"/>
    </row>
    <row r="11" spans="1:26" ht="16.5" customHeight="1" x14ac:dyDescent="0.3">
      <c r="A11" s="4" t="s">
        <v>44</v>
      </c>
      <c r="B11" s="6" t="s">
        <v>5</v>
      </c>
      <c r="C11" s="1" t="s">
        <v>4</v>
      </c>
      <c r="D11" s="1" t="s">
        <v>4</v>
      </c>
      <c r="E11" s="6" t="s">
        <v>5</v>
      </c>
      <c r="F11" s="1" t="s">
        <v>4</v>
      </c>
      <c r="G11" s="6" t="s">
        <v>4</v>
      </c>
      <c r="H11" s="6" t="s">
        <v>5</v>
      </c>
      <c r="I11" s="6" t="s">
        <v>4</v>
      </c>
      <c r="J11" s="1" t="s">
        <v>3</v>
      </c>
      <c r="K11" s="1" t="s">
        <v>4</v>
      </c>
      <c r="L11" s="1" t="s">
        <v>4</v>
      </c>
      <c r="M11" s="1" t="s">
        <v>4</v>
      </c>
      <c r="N11" s="1" t="s">
        <v>5</v>
      </c>
      <c r="O11" s="1" t="s">
        <v>4</v>
      </c>
      <c r="P11" s="1" t="s">
        <v>5</v>
      </c>
      <c r="Q11" s="1" t="s">
        <v>5</v>
      </c>
      <c r="R11" s="6" t="s">
        <v>4</v>
      </c>
      <c r="S11" s="7" t="s">
        <v>5</v>
      </c>
      <c r="T11" s="2"/>
      <c r="U11" s="2"/>
      <c r="V11" s="2"/>
      <c r="W11" s="2"/>
      <c r="X11" s="2"/>
      <c r="Y11" s="2"/>
      <c r="Z11" s="2"/>
    </row>
    <row r="12" spans="1:26" ht="15.75" customHeight="1" x14ac:dyDescent="0.3">
      <c r="A12" s="4" t="s">
        <v>36</v>
      </c>
      <c r="B12" s="6" t="s">
        <v>5</v>
      </c>
      <c r="C12" s="1" t="s">
        <v>4</v>
      </c>
      <c r="D12" s="1" t="s">
        <v>5</v>
      </c>
      <c r="E12" s="1" t="s">
        <v>4</v>
      </c>
      <c r="F12" s="1" t="s">
        <v>4</v>
      </c>
      <c r="G12" s="1" t="s">
        <v>4</v>
      </c>
      <c r="H12" s="1" t="s">
        <v>4</v>
      </c>
      <c r="I12" s="1" t="s">
        <v>4</v>
      </c>
      <c r="J12" s="8" t="s">
        <v>4</v>
      </c>
      <c r="K12" s="1" t="s">
        <v>3</v>
      </c>
      <c r="L12" s="1" t="s">
        <v>4</v>
      </c>
      <c r="M12" s="1" t="s">
        <v>4</v>
      </c>
      <c r="N12" s="8" t="s">
        <v>4</v>
      </c>
      <c r="O12" s="5" t="s">
        <v>5</v>
      </c>
      <c r="P12" s="5" t="s">
        <v>5</v>
      </c>
      <c r="Q12" s="1" t="s">
        <v>4</v>
      </c>
      <c r="R12" s="1" t="s">
        <v>5</v>
      </c>
      <c r="S12" s="1" t="s">
        <v>4</v>
      </c>
      <c r="T12" s="2"/>
      <c r="U12" s="2"/>
      <c r="V12" s="2"/>
      <c r="W12" s="2"/>
      <c r="X12" s="2"/>
      <c r="Y12" s="2"/>
      <c r="Z12" s="2"/>
    </row>
    <row r="13" spans="1:26" ht="15.75" customHeight="1" x14ac:dyDescent="0.3">
      <c r="A13" s="4" t="s">
        <v>22</v>
      </c>
      <c r="B13" s="1" t="s">
        <v>4</v>
      </c>
      <c r="C13" s="1" t="s">
        <v>4</v>
      </c>
      <c r="D13" s="1" t="s">
        <v>4</v>
      </c>
      <c r="E13" s="1" t="s">
        <v>4</v>
      </c>
      <c r="F13" s="8" t="s">
        <v>4</v>
      </c>
      <c r="G13" s="1" t="s">
        <v>4</v>
      </c>
      <c r="H13" s="1" t="s">
        <v>4</v>
      </c>
      <c r="I13" s="1" t="s">
        <v>4</v>
      </c>
      <c r="J13" s="1" t="s">
        <v>4</v>
      </c>
      <c r="K13" s="1" t="s">
        <v>4</v>
      </c>
      <c r="L13" s="1" t="s">
        <v>3</v>
      </c>
      <c r="M13" s="1" t="s">
        <v>5</v>
      </c>
      <c r="N13" s="1" t="s">
        <v>4</v>
      </c>
      <c r="O13" s="1" t="s">
        <v>4</v>
      </c>
      <c r="P13" s="1" t="s">
        <v>4</v>
      </c>
      <c r="Q13" s="1" t="s">
        <v>4</v>
      </c>
      <c r="R13" s="1" t="s">
        <v>4</v>
      </c>
      <c r="S13" s="7" t="s">
        <v>4</v>
      </c>
      <c r="T13" s="2"/>
      <c r="U13" s="2"/>
      <c r="V13" s="2"/>
      <c r="W13" s="2"/>
      <c r="X13" s="2"/>
      <c r="Y13" s="2"/>
      <c r="Z13" s="2"/>
    </row>
    <row r="14" spans="1:26" ht="15.75" customHeight="1" x14ac:dyDescent="0.3">
      <c r="A14" s="4" t="s">
        <v>38</v>
      </c>
      <c r="B14" s="6" t="s">
        <v>4</v>
      </c>
      <c r="C14" s="8" t="s">
        <v>4</v>
      </c>
      <c r="D14" s="1" t="s">
        <v>4</v>
      </c>
      <c r="E14" s="1" t="s">
        <v>4</v>
      </c>
      <c r="F14" s="8" t="s">
        <v>4</v>
      </c>
      <c r="G14" s="1" t="s">
        <v>5</v>
      </c>
      <c r="H14" s="1" t="s">
        <v>4</v>
      </c>
      <c r="I14" s="6" t="s">
        <v>5</v>
      </c>
      <c r="J14" s="1" t="s">
        <v>4</v>
      </c>
      <c r="K14" s="1" t="s">
        <v>4</v>
      </c>
      <c r="L14" s="6" t="s">
        <v>5</v>
      </c>
      <c r="M14" s="1" t="s">
        <v>3</v>
      </c>
      <c r="N14" s="1" t="s">
        <v>4</v>
      </c>
      <c r="O14" s="8" t="s">
        <v>5</v>
      </c>
      <c r="P14" s="1" t="s">
        <v>4</v>
      </c>
      <c r="Q14" s="1" t="s">
        <v>4</v>
      </c>
      <c r="R14" s="1" t="s">
        <v>4</v>
      </c>
      <c r="S14" s="7" t="s">
        <v>5</v>
      </c>
      <c r="T14" s="2"/>
      <c r="U14" s="2"/>
      <c r="V14" s="2"/>
      <c r="W14" s="2"/>
      <c r="X14" s="2"/>
      <c r="Y14" s="2"/>
      <c r="Z14" s="2"/>
    </row>
    <row r="15" spans="1:26" ht="15.75" customHeight="1" x14ac:dyDescent="0.3">
      <c r="A15" s="4" t="s">
        <v>27</v>
      </c>
      <c r="B15" s="1" t="s">
        <v>7</v>
      </c>
      <c r="C15" s="8" t="s">
        <v>4</v>
      </c>
      <c r="D15" s="1" t="s">
        <v>4</v>
      </c>
      <c r="E15" s="1" t="s">
        <v>4</v>
      </c>
      <c r="F15" s="1" t="s">
        <v>4</v>
      </c>
      <c r="G15" s="8" t="s">
        <v>4</v>
      </c>
      <c r="H15" s="1" t="s">
        <v>4</v>
      </c>
      <c r="I15" s="1" t="s">
        <v>4</v>
      </c>
      <c r="J15" s="1" t="s">
        <v>5</v>
      </c>
      <c r="K15" s="1" t="s">
        <v>4</v>
      </c>
      <c r="L15" s="1" t="s">
        <v>4</v>
      </c>
      <c r="M15" s="8" t="s">
        <v>4</v>
      </c>
      <c r="N15" s="1" t="s">
        <v>3</v>
      </c>
      <c r="O15" s="1" t="s">
        <v>4</v>
      </c>
      <c r="P15" s="8" t="s">
        <v>4</v>
      </c>
      <c r="Q15" s="1" t="s">
        <v>4</v>
      </c>
      <c r="R15" s="1" t="s">
        <v>4</v>
      </c>
      <c r="S15" s="1" t="s">
        <v>4</v>
      </c>
      <c r="T15" s="2"/>
      <c r="U15" s="2"/>
      <c r="V15" s="2"/>
      <c r="W15" s="2"/>
      <c r="X15" s="2"/>
      <c r="Y15" s="2"/>
      <c r="Z15" s="2"/>
    </row>
    <row r="16" spans="1:26" ht="15.75" customHeight="1" x14ac:dyDescent="0.3">
      <c r="A16" s="4" t="s">
        <v>41</v>
      </c>
      <c r="B16" s="1" t="s">
        <v>5</v>
      </c>
      <c r="C16" s="1" t="s">
        <v>4</v>
      </c>
      <c r="D16" s="5" t="s">
        <v>5</v>
      </c>
      <c r="E16" s="1" t="s">
        <v>4</v>
      </c>
      <c r="F16" s="1" t="s">
        <v>4</v>
      </c>
      <c r="G16" s="1" t="s">
        <v>4</v>
      </c>
      <c r="H16" s="1" t="s">
        <v>4</v>
      </c>
      <c r="I16" s="1" t="s">
        <v>4</v>
      </c>
      <c r="J16" s="1" t="s">
        <v>4</v>
      </c>
      <c r="K16" s="6" t="s">
        <v>5</v>
      </c>
      <c r="L16" s="5" t="s">
        <v>4</v>
      </c>
      <c r="M16" s="8" t="s">
        <v>4</v>
      </c>
      <c r="N16" s="1" t="s">
        <v>4</v>
      </c>
      <c r="O16" s="1" t="s">
        <v>3</v>
      </c>
      <c r="P16" s="1" t="s">
        <v>4</v>
      </c>
      <c r="Q16" s="1" t="s">
        <v>4</v>
      </c>
      <c r="R16" s="6" t="s">
        <v>5</v>
      </c>
      <c r="S16" s="1" t="s">
        <v>4</v>
      </c>
      <c r="T16" s="2"/>
      <c r="U16" s="2"/>
      <c r="V16" s="2"/>
      <c r="W16" s="2"/>
      <c r="X16" s="2"/>
      <c r="Y16" s="2"/>
      <c r="Z16" s="2"/>
    </row>
    <row r="17" spans="1:26" ht="15.75" customHeight="1" x14ac:dyDescent="0.3">
      <c r="A17" s="4" t="s">
        <v>45</v>
      </c>
      <c r="B17" s="6" t="s">
        <v>5</v>
      </c>
      <c r="C17" s="1" t="s">
        <v>4</v>
      </c>
      <c r="D17" s="6" t="s">
        <v>4</v>
      </c>
      <c r="E17" s="1" t="s">
        <v>5</v>
      </c>
      <c r="F17" s="1" t="s">
        <v>4</v>
      </c>
      <c r="G17" s="1" t="s">
        <v>4</v>
      </c>
      <c r="H17" s="6" t="s">
        <v>5</v>
      </c>
      <c r="I17" s="1" t="s">
        <v>4</v>
      </c>
      <c r="J17" s="6" t="s">
        <v>5</v>
      </c>
      <c r="K17" s="1" t="s">
        <v>5</v>
      </c>
      <c r="L17" s="1" t="s">
        <v>4</v>
      </c>
      <c r="M17" s="1" t="s">
        <v>4</v>
      </c>
      <c r="N17" s="1" t="s">
        <v>4</v>
      </c>
      <c r="O17" s="1" t="s">
        <v>4</v>
      </c>
      <c r="P17" s="1" t="s">
        <v>3</v>
      </c>
      <c r="Q17" s="8" t="s">
        <v>4</v>
      </c>
      <c r="R17" s="6" t="s">
        <v>5</v>
      </c>
      <c r="S17" s="6" t="s">
        <v>5</v>
      </c>
      <c r="T17" s="2"/>
      <c r="U17" s="2"/>
      <c r="V17" s="2"/>
      <c r="W17" s="2"/>
      <c r="X17" s="2"/>
      <c r="Y17" s="2"/>
      <c r="Z17" s="2"/>
    </row>
    <row r="18" spans="1:26" ht="15.75" customHeight="1" x14ac:dyDescent="0.3">
      <c r="A18" s="4" t="s">
        <v>46</v>
      </c>
      <c r="B18" s="8" t="s">
        <v>5</v>
      </c>
      <c r="C18" s="1" t="s">
        <v>4</v>
      </c>
      <c r="D18" s="1" t="s">
        <v>4</v>
      </c>
      <c r="E18" s="1" t="s">
        <v>4</v>
      </c>
      <c r="F18" s="1" t="s">
        <v>4</v>
      </c>
      <c r="G18" s="1" t="s">
        <v>5</v>
      </c>
      <c r="H18" s="1" t="s">
        <v>4</v>
      </c>
      <c r="I18" s="1" t="s">
        <v>4</v>
      </c>
      <c r="J18" s="8" t="s">
        <v>5</v>
      </c>
      <c r="K18" s="1" t="s">
        <v>4</v>
      </c>
      <c r="L18" s="1" t="s">
        <v>4</v>
      </c>
      <c r="M18" s="1" t="s">
        <v>4</v>
      </c>
      <c r="N18" s="1" t="s">
        <v>4</v>
      </c>
      <c r="O18" s="8" t="s">
        <v>5</v>
      </c>
      <c r="P18" s="8" t="s">
        <v>5</v>
      </c>
      <c r="Q18" s="1" t="s">
        <v>3</v>
      </c>
      <c r="R18" s="1" t="s">
        <v>4</v>
      </c>
      <c r="S18" s="1" t="s">
        <v>4</v>
      </c>
      <c r="T18" s="2"/>
      <c r="U18" s="2"/>
      <c r="V18" s="2"/>
      <c r="W18" s="2"/>
      <c r="X18" s="2"/>
      <c r="Y18" s="2"/>
      <c r="Z18" s="2"/>
    </row>
    <row r="19" spans="1:26" ht="15.75" customHeight="1" x14ac:dyDescent="0.3">
      <c r="A19" s="4" t="s">
        <v>47</v>
      </c>
      <c r="B19" s="1" t="s">
        <v>49</v>
      </c>
      <c r="C19" s="1" t="s">
        <v>4</v>
      </c>
      <c r="D19" s="6" t="s">
        <v>5</v>
      </c>
      <c r="E19" s="8" t="s">
        <v>4</v>
      </c>
      <c r="F19" s="1" t="s">
        <v>4</v>
      </c>
      <c r="G19" s="1" t="s">
        <v>4</v>
      </c>
      <c r="H19" s="1" t="s">
        <v>4</v>
      </c>
      <c r="I19" s="1" t="s">
        <v>4</v>
      </c>
      <c r="J19" s="15" t="s">
        <v>49</v>
      </c>
      <c r="K19" s="6" t="s">
        <v>5</v>
      </c>
      <c r="L19" s="1" t="s">
        <v>4</v>
      </c>
      <c r="M19" s="1" t="s">
        <v>4</v>
      </c>
      <c r="N19" s="1" t="s">
        <v>4</v>
      </c>
      <c r="O19" s="6" t="s">
        <v>5</v>
      </c>
      <c r="P19" s="1" t="s">
        <v>5</v>
      </c>
      <c r="Q19" s="1" t="s">
        <v>4</v>
      </c>
      <c r="R19" s="1" t="s">
        <v>3</v>
      </c>
      <c r="S19" s="8" t="s">
        <v>4</v>
      </c>
      <c r="T19" s="2"/>
      <c r="U19" s="2"/>
      <c r="V19" s="2"/>
      <c r="W19" s="2"/>
      <c r="X19" s="2"/>
      <c r="Y19" s="2"/>
      <c r="Z19" s="2"/>
    </row>
    <row r="20" spans="1:26" ht="15.75" customHeight="1" x14ac:dyDescent="0.3">
      <c r="A20" s="4" t="s">
        <v>48</v>
      </c>
      <c r="B20" s="1" t="s">
        <v>7</v>
      </c>
      <c r="C20" s="8" t="s">
        <v>4</v>
      </c>
      <c r="D20" s="8" t="s">
        <v>4</v>
      </c>
      <c r="E20" s="1" t="s">
        <v>4</v>
      </c>
      <c r="F20" s="1" t="s">
        <v>4</v>
      </c>
      <c r="G20" s="6" t="s">
        <v>5</v>
      </c>
      <c r="H20" s="1" t="s">
        <v>4</v>
      </c>
      <c r="I20" s="1" t="s">
        <v>4</v>
      </c>
      <c r="J20" s="1" t="s">
        <v>4</v>
      </c>
      <c r="K20" s="1" t="s">
        <v>4</v>
      </c>
      <c r="L20" s="1" t="s">
        <v>4</v>
      </c>
      <c r="M20" s="1" t="s">
        <v>5</v>
      </c>
      <c r="N20" s="1" t="s">
        <v>4</v>
      </c>
      <c r="O20" s="8" t="s">
        <v>4</v>
      </c>
      <c r="P20" s="1" t="s">
        <v>4</v>
      </c>
      <c r="Q20" s="1" t="s">
        <v>5</v>
      </c>
      <c r="R20" s="1" t="s">
        <v>4</v>
      </c>
      <c r="S20" s="1" t="s">
        <v>3</v>
      </c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10"/>
      <c r="B24" s="1" t="s">
        <v>8</v>
      </c>
      <c r="C24" s="2"/>
      <c r="D24" s="2"/>
      <c r="E24" s="2"/>
      <c r="F24" s="1" t="s">
        <v>9</v>
      </c>
      <c r="G24" s="1" t="s">
        <v>10</v>
      </c>
      <c r="H24" s="8" t="s">
        <v>11</v>
      </c>
      <c r="I24" s="6" t="s">
        <v>12</v>
      </c>
      <c r="J24" s="5" t="s">
        <v>13</v>
      </c>
      <c r="K24" s="9" t="s">
        <v>14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10"/>
      <c r="B25" s="1" t="s">
        <v>15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10"/>
      <c r="B26" s="1" t="s">
        <v>16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1" t="s">
        <v>17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1" t="s">
        <v>18</v>
      </c>
      <c r="B30" s="2"/>
      <c r="C30" s="11"/>
      <c r="D30" s="11" t="s">
        <v>19</v>
      </c>
      <c r="E30" s="11" t="s">
        <v>5</v>
      </c>
      <c r="F30" s="12" t="s">
        <v>7</v>
      </c>
      <c r="G30" s="11" t="s">
        <v>20</v>
      </c>
      <c r="H30" s="1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1" t="s">
        <v>21</v>
      </c>
      <c r="B31" s="2"/>
      <c r="C31" s="12" t="s">
        <v>22</v>
      </c>
      <c r="D31" s="11">
        <v>16</v>
      </c>
      <c r="E31" s="13">
        <v>1</v>
      </c>
      <c r="F31" s="11">
        <v>0</v>
      </c>
      <c r="G31" s="14">
        <f t="shared" ref="G31:G48" si="0">SUM(D31:F31)</f>
        <v>17</v>
      </c>
      <c r="H31" s="2"/>
      <c r="I31" s="1" t="s">
        <v>23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1" t="s">
        <v>24</v>
      </c>
      <c r="B32" s="2"/>
      <c r="C32" s="12" t="s">
        <v>25</v>
      </c>
      <c r="D32" s="11">
        <v>15</v>
      </c>
      <c r="E32" s="11">
        <v>2</v>
      </c>
      <c r="F32" s="11">
        <v>0</v>
      </c>
      <c r="G32" s="14">
        <f t="shared" si="0"/>
        <v>17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1" t="s">
        <v>26</v>
      </c>
      <c r="B33" s="2"/>
      <c r="C33" s="12" t="s">
        <v>27</v>
      </c>
      <c r="D33" s="11">
        <v>15</v>
      </c>
      <c r="E33" s="11">
        <v>1</v>
      </c>
      <c r="F33" s="11">
        <v>1</v>
      </c>
      <c r="G33" s="14">
        <f t="shared" si="0"/>
        <v>17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2"/>
      <c r="C34" s="12" t="s">
        <v>28</v>
      </c>
      <c r="D34" s="11">
        <v>15</v>
      </c>
      <c r="E34" s="11">
        <v>2</v>
      </c>
      <c r="F34" s="11">
        <v>0</v>
      </c>
      <c r="G34" s="14">
        <f t="shared" si="0"/>
        <v>17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2"/>
      <c r="C35" s="12" t="s">
        <v>29</v>
      </c>
      <c r="D35" s="11">
        <v>15</v>
      </c>
      <c r="E35" s="11">
        <v>2</v>
      </c>
      <c r="F35" s="11">
        <v>0</v>
      </c>
      <c r="G35" s="14">
        <f t="shared" si="0"/>
        <v>17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2"/>
      <c r="C36" s="12" t="s">
        <v>30</v>
      </c>
      <c r="D36" s="11">
        <v>14</v>
      </c>
      <c r="E36" s="11">
        <v>3</v>
      </c>
      <c r="F36" s="11">
        <v>0</v>
      </c>
      <c r="G36" s="14">
        <f t="shared" si="0"/>
        <v>17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2"/>
      <c r="C37" s="12" t="s">
        <v>31</v>
      </c>
      <c r="D37" s="11">
        <v>14</v>
      </c>
      <c r="E37" s="11">
        <v>3</v>
      </c>
      <c r="F37" s="11">
        <v>0</v>
      </c>
      <c r="G37" s="14">
        <f t="shared" si="0"/>
        <v>17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2"/>
      <c r="C38" s="12" t="s">
        <v>32</v>
      </c>
      <c r="D38" s="11">
        <v>10</v>
      </c>
      <c r="E38" s="11">
        <v>7</v>
      </c>
      <c r="F38" s="11">
        <v>0</v>
      </c>
      <c r="G38" s="14">
        <f t="shared" si="0"/>
        <v>17</v>
      </c>
      <c r="H38" s="2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2"/>
      <c r="C39" s="12" t="s">
        <v>33</v>
      </c>
      <c r="D39" s="11">
        <v>10</v>
      </c>
      <c r="E39" s="11">
        <v>7</v>
      </c>
      <c r="F39" s="11">
        <v>0</v>
      </c>
      <c r="G39" s="14">
        <f t="shared" si="0"/>
        <v>17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2"/>
      <c r="C40" s="12" t="s">
        <v>34</v>
      </c>
      <c r="D40" s="11">
        <v>11</v>
      </c>
      <c r="E40" s="11">
        <v>4</v>
      </c>
      <c r="F40" s="11">
        <v>2</v>
      </c>
      <c r="G40" s="14">
        <f t="shared" si="0"/>
        <v>17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2"/>
      <c r="C41" s="12" t="s">
        <v>35</v>
      </c>
      <c r="D41" s="11">
        <v>12</v>
      </c>
      <c r="E41" s="11">
        <v>5</v>
      </c>
      <c r="F41" s="11">
        <v>0</v>
      </c>
      <c r="G41" s="14">
        <f t="shared" si="0"/>
        <v>17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2"/>
      <c r="C42" s="12" t="s">
        <v>36</v>
      </c>
      <c r="D42" s="11">
        <v>12</v>
      </c>
      <c r="E42" s="11">
        <v>5</v>
      </c>
      <c r="F42" s="11">
        <v>0</v>
      </c>
      <c r="G42" s="14">
        <f t="shared" si="0"/>
        <v>17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2"/>
      <c r="C43" s="12" t="s">
        <v>37</v>
      </c>
      <c r="D43" s="11">
        <v>12</v>
      </c>
      <c r="E43" s="11">
        <v>5</v>
      </c>
      <c r="F43" s="11">
        <v>0</v>
      </c>
      <c r="G43" s="14">
        <f t="shared" si="0"/>
        <v>17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2"/>
      <c r="C44" s="12" t="s">
        <v>38</v>
      </c>
      <c r="D44" s="11">
        <v>12</v>
      </c>
      <c r="E44" s="11">
        <v>5</v>
      </c>
      <c r="F44" s="11">
        <v>0</v>
      </c>
      <c r="G44" s="14">
        <f t="shared" si="0"/>
        <v>17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12" t="s">
        <v>39</v>
      </c>
      <c r="D45" s="11">
        <v>13</v>
      </c>
      <c r="E45" s="11">
        <v>4</v>
      </c>
      <c r="F45" s="11">
        <v>0</v>
      </c>
      <c r="G45" s="14">
        <f t="shared" si="0"/>
        <v>17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12" t="s">
        <v>40</v>
      </c>
      <c r="D46" s="11">
        <v>13</v>
      </c>
      <c r="E46" s="11">
        <v>4</v>
      </c>
      <c r="F46" s="11">
        <v>0</v>
      </c>
      <c r="G46" s="14">
        <f t="shared" si="0"/>
        <v>17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12" t="s">
        <v>41</v>
      </c>
      <c r="D47" s="11">
        <v>13</v>
      </c>
      <c r="E47" s="11">
        <v>4</v>
      </c>
      <c r="F47" s="11">
        <v>0</v>
      </c>
      <c r="G47" s="14">
        <f t="shared" si="0"/>
        <v>17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12" t="s">
        <v>42</v>
      </c>
      <c r="D48" s="11">
        <v>13</v>
      </c>
      <c r="E48" s="11">
        <v>3</v>
      </c>
      <c r="F48" s="11">
        <v>1</v>
      </c>
      <c r="G48" s="14">
        <f t="shared" si="0"/>
        <v>17</v>
      </c>
      <c r="H48" s="2">
        <f>17*18</f>
        <v>306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14"/>
      <c r="D49" s="11">
        <v>235</v>
      </c>
      <c r="E49" s="11">
        <v>67</v>
      </c>
      <c r="F49" s="14">
        <f t="shared" ref="F49:G49" si="1">SUM(F31:F48)</f>
        <v>4</v>
      </c>
      <c r="G49" s="14">
        <f t="shared" si="1"/>
        <v>306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>
        <f t="shared" ref="D50:E50" si="2">SUM(D31:D48)</f>
        <v>235</v>
      </c>
      <c r="E50" s="2">
        <f t="shared" si="2"/>
        <v>67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1" t="s">
        <v>43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 Stührenberg</dc:creator>
  <cp:lastModifiedBy>Farah, Michel</cp:lastModifiedBy>
  <dcterms:created xsi:type="dcterms:W3CDTF">2025-07-07T07:55:00Z</dcterms:created>
  <dcterms:modified xsi:type="dcterms:W3CDTF">2026-01-05T13:10:17Z</dcterms:modified>
</cp:coreProperties>
</file>